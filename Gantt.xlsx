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i/Documents/0_Overview/"/>
    </mc:Choice>
  </mc:AlternateContent>
  <xr:revisionPtr revIDLastSave="0" documentId="13_ncr:1_{ED54D53D-91E6-9249-B6C1-B6A602BFE5B1}" xr6:coauthVersionLast="47" xr6:coauthVersionMax="47" xr10:uidLastSave="{00000000-0000-0000-0000-000000000000}"/>
  <bookViews>
    <workbookView xWindow="0" yWindow="1240" windowWidth="30240" windowHeight="17180" xr2:uid="{84C21D97-1331-D849-A65D-691801823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" i="1" l="1"/>
  <c r="AI29" i="1" s="1"/>
  <c r="AH28" i="1"/>
  <c r="AH29" i="1" s="1"/>
  <c r="AG28" i="1"/>
  <c r="AG29" i="1" s="1"/>
</calcChain>
</file>

<file path=xl/sharedStrings.xml><?xml version="1.0" encoding="utf-8"?>
<sst xmlns="http://schemas.openxmlformats.org/spreadsheetml/2006/main" count="63" uniqueCount="46">
  <si>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</si>
  <si>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</si>
  <si>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</si>
  <si>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</si>
  <si>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</si>
  <si>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</si>
  <si>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</si>
  <si>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</si>
  <si>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</si>
  <si>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</si>
  <si>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</si>
  <si>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</si>
  <si>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rating experiment sent out</t>
  </si>
  <si>
    <t>productin experiment sent out</t>
  </si>
  <si>
    <t>production experiment analysis</t>
  </si>
  <si>
    <t>Others</t>
  </si>
  <si>
    <t>Shumian visiting; preparing experiment</t>
  </si>
  <si>
    <t>conference</t>
  </si>
  <si>
    <t>Labphon abstract; recording</t>
  </si>
  <si>
    <t>Una Europa workshop</t>
  </si>
  <si>
    <t>TAI proceeding</t>
  </si>
  <si>
    <t>TAI abtract</t>
  </si>
  <si>
    <t>Recording</t>
  </si>
  <si>
    <t>Processing; intern</t>
  </si>
  <si>
    <t>teaching assistant</t>
  </si>
  <si>
    <t>Collaborations; new recording</t>
  </si>
  <si>
    <t>SFP</t>
  </si>
  <si>
    <t>Cleaning</t>
  </si>
  <si>
    <t>Implementing experiment</t>
  </si>
  <si>
    <t>Testing experiment</t>
  </si>
  <si>
    <t>chapter</t>
  </si>
  <si>
    <t>TAI conference</t>
  </si>
  <si>
    <t>Processing  &amp; TAI conference</t>
  </si>
  <si>
    <t>Processing &amp; TAI conference</t>
  </si>
  <si>
    <t>Pilot experiment; chapter</t>
  </si>
  <si>
    <t>Labspeech 1</t>
  </si>
  <si>
    <t>Corpus processing 2</t>
  </si>
  <si>
    <t>Non-canonical 3</t>
  </si>
  <si>
    <t>Intern; data processing</t>
  </si>
  <si>
    <t>TAI abstract</t>
  </si>
  <si>
    <t>Planning reading 4</t>
  </si>
  <si>
    <t>SMILE Talk series</t>
  </si>
  <si>
    <t>Intern; data processing; APP</t>
  </si>
  <si>
    <t>chapter recording and writing</t>
  </si>
  <si>
    <t>Days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</si>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</sst>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7" borderId="2" xfId="0" applyFill="1" applyBorder="1"/>
    <xf numFmtId="0" fontId="0" fillId="0" borderId="2" xfId="0" applyBorder="1"/>
    <xf numFmtId="0" fontId="0" fillId="7" borderId="5" xfId="0" applyFill="1" applyBorder="1"/>
    <xf numFmtId="0" fontId="0" fillId="0" borderId="3" xfId="0" applyBorder="1"/>
    <xf numFmtId="0" fontId="0" fillId="0" borderId="8" xfId="0" applyBorder="1"/>
    <xf numFmtId="0" fontId="0" fillId="7" borderId="8" xfId="0" applyFill="1" applyBorder="1"/>
    <xf numFmtId="0" fontId="0" fillId="0" borderId="9" xfId="0" applyBorder="1"/>
    <xf numFmtId="0" fontId="0" fillId="7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6" borderId="2" xfId="0" applyFill="1" applyBorder="1"/>
    <xf numFmtId="0" fontId="0" fillId="4" borderId="2" xfId="0" applyFill="1" applyBorder="1"/>
    <xf numFmtId="0" fontId="0" fillId="6" borderId="8" xfId="0" applyFill="1" applyBorder="1"/>
    <xf numFmtId="0" fontId="0" fillId="3" borderId="8" xfId="0" applyFill="1" applyBorder="1"/>
    <xf numFmtId="0" fontId="0" fillId="3" borderId="9" xfId="0" applyFill="1" applyBorder="1"/>
    <xf numFmtId="0" fontId="0" fillId="5" borderId="2" xfId="0" applyFill="1" applyBorder="1"/>
    <xf numFmtId="0" fontId="0" fillId="5" borderId="8" xfId="0" applyFill="1" applyBorder="1"/>
    <xf numFmtId="0" fontId="0" fillId="6" borderId="9" xfId="0" applyFill="1" applyBorder="1"/>
    <xf numFmtId="0" fontId="0" fillId="8" borderId="0" xfId="0" applyFill="1"/>
    <xf numFmtId="0" fontId="0" fillId="8" borderId="1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4" xfId="0" applyFill="1" applyBorder="1"/>
    <xf numFmtId="0" fontId="0" fillId="9" borderId="2" xfId="0" applyFill="1" applyBorder="1"/>
    <xf numFmtId="0" fontId="0" fillId="9" borderId="0" xfId="0" applyFill="1"/>
    <xf numFmtId="0" fontId="0" fillId="10" borderId="0" xfId="0" applyFill="1"/>
    <xf numFmtId="0" fontId="0" fillId="10" borderId="2" xfId="0" applyFill="1" applyBorder="1"/>
    <xf numFmtId="0" fontId="0" fillId="9" borderId="3" xfId="0" applyFill="1" applyBorder="1"/>
    <xf numFmtId="0" fontId="0" fillId="11" borderId="5" xfId="0" applyFill="1" applyBorder="1"/>
    <xf numFmtId="0" fontId="0" fillId="12" borderId="2" xfId="0" applyFill="1" applyBorder="1"/>
    <xf numFmtId="0" fontId="0" fillId="13" borderId="2" xfId="0" applyFill="1" applyBorder="1"/>
    <xf numFmtId="0" fontId="0" fillId="9" borderId="5" xfId="0" applyFill="1" applyBorder="1"/>
    <xf numFmtId="0" fontId="0" fillId="7" borderId="1" xfId="0" applyFill="1" applyBorder="1"/>
    <xf numFmtId="0" fontId="0" fillId="14" borderId="0" xfId="0" applyFill="1"/>
    <xf numFmtId="0" fontId="0" fillId="4" borderId="5" xfId="0" applyFill="1" applyBorder="1"/>
    <xf numFmtId="0" fontId="0" fillId="15" borderId="2" xfId="0" applyFill="1" applyBorder="1"/>
  </cellXfs>
  <cellStyles count="1">
    <cellStyle name="Normal" xfId="0" builtinId="0"/>
  </cellStyles>
  <dxfs count="12">
    <dxf>
      <font>
        <color theme="7" tint="0.39994506668294322"/>
      </font>
      <fill>
        <patternFill>
          <fgColor auto="1"/>
          <bgColor theme="7" tint="0.39994506668294322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7" tint="0.39994506668294322"/>
      </font>
      <fill>
        <patternFill>
          <fgColor auto="1"/>
          <bgColor theme="7" tint="0.39994506668294322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7" tint="0.39994506668294322"/>
      </font>
      <fill>
        <patternFill>
          <fgColor auto="1"/>
          <bgColor theme="7" tint="0.39994506668294322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9966-ADA3-0E4C-9240-4DBBD94AD982}">
  <dimension ref="A1:AL29"/>
  <sheetViews>
    <sheetView tabSelected="1" zoomScale="91" workbookViewId="0">
      <selection activeCell="W19" sqref="W19"/>
    </sheetView>
  </sheetViews>
  <sheetFormatPr baseColWidth="10" defaultRowHeight="16" x14ac:dyDescent="0.2"/>
  <cols>
    <col min="2" max="32" width="4.5" customWidth="1"/>
    <col min="33" max="33" width="25.5" customWidth="1"/>
    <col min="34" max="34" width="24.83203125" customWidth="1"/>
    <col min="35" max="35" width="32" customWidth="1"/>
    <col min="37" max="37" width="18.1640625" customWidth="1"/>
  </cols>
  <sheetData>
    <row r="1" spans="1:38" ht="17" thickBot="1" x14ac:dyDescent="0.25">
      <c r="A1" s="24"/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30" t="s">
        <v>35</v>
      </c>
      <c r="AH1" s="2" t="s">
        <v>36</v>
      </c>
      <c r="AI1" s="1" t="s">
        <v>37</v>
      </c>
      <c r="AJ1" s="3"/>
      <c r="AK1" s="35" t="s">
        <v>40</v>
      </c>
      <c r="AL1" s="39" t="s">
        <v>15</v>
      </c>
    </row>
    <row r="2" spans="1:38" ht="17" thickBot="1" x14ac:dyDescent="0.25">
      <c r="A2" s="26" t="s">
        <v>10</v>
      </c>
      <c r="B2" s="30">
        <v>1</v>
      </c>
      <c r="C2" s="4"/>
      <c r="D2" s="4"/>
      <c r="E2" s="37">
        <v>1</v>
      </c>
      <c r="F2" s="37">
        <v>1</v>
      </c>
      <c r="G2" s="40">
        <v>2</v>
      </c>
      <c r="H2" s="40">
        <v>2</v>
      </c>
      <c r="I2" s="40">
        <v>2</v>
      </c>
      <c r="J2" s="4"/>
      <c r="K2" s="4"/>
      <c r="L2" s="37">
        <v>1</v>
      </c>
      <c r="M2" s="37">
        <v>1</v>
      </c>
      <c r="N2" s="40">
        <v>2</v>
      </c>
      <c r="O2" s="40">
        <v>2</v>
      </c>
      <c r="P2" s="40">
        <v>2</v>
      </c>
      <c r="Q2" s="4"/>
      <c r="R2" s="4"/>
      <c r="S2" s="37">
        <v>1</v>
      </c>
      <c r="T2" s="37">
        <v>1</v>
      </c>
      <c r="U2" s="40">
        <v>2</v>
      </c>
      <c r="V2" s="40">
        <v>2</v>
      </c>
      <c r="W2" s="40">
        <v>2</v>
      </c>
      <c r="X2" s="4"/>
      <c r="Y2" s="4"/>
      <c r="Z2" s="37">
        <v>1</v>
      </c>
      <c r="AA2" s="37">
        <v>1</v>
      </c>
      <c r="AB2" s="40">
        <v>2</v>
      </c>
      <c r="AC2" s="40">
        <v>2</v>
      </c>
      <c r="AD2" s="40">
        <v>2</v>
      </c>
      <c r="AE2" s="7"/>
      <c r="AG2" s="30" t="s">
        <v>22</v>
      </c>
      <c r="AH2" s="2" t="s">
        <v>39</v>
      </c>
      <c r="AI2" s="1"/>
    </row>
    <row r="3" spans="1:38" ht="17" thickBot="1" x14ac:dyDescent="0.25">
      <c r="A3" s="25" t="s">
        <v>11</v>
      </c>
      <c r="B3" s="5"/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5"/>
      <c r="I3" s="5"/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5"/>
      <c r="P3" s="5"/>
      <c r="Q3" s="19"/>
      <c r="R3" s="19"/>
      <c r="S3" s="19"/>
      <c r="T3" s="19"/>
      <c r="U3" s="19"/>
      <c r="V3" s="5"/>
      <c r="W3" s="5"/>
      <c r="X3" s="19"/>
      <c r="Y3" s="19"/>
      <c r="Z3" s="5"/>
      <c r="AA3" s="5"/>
      <c r="AB3" s="19"/>
      <c r="AC3" s="5"/>
      <c r="AD3" s="5"/>
      <c r="AE3" s="19"/>
      <c r="AF3" s="19"/>
      <c r="AG3" s="30" t="s">
        <v>21</v>
      </c>
      <c r="AH3" s="2"/>
      <c r="AI3" s="1"/>
    </row>
    <row r="4" spans="1:38" ht="17" thickBot="1" x14ac:dyDescent="0.25">
      <c r="A4" s="24">
        <v>2025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30"/>
      <c r="AH4" s="2"/>
      <c r="AI4" s="1"/>
    </row>
    <row r="5" spans="1:38" ht="17" thickBot="1" x14ac:dyDescent="0.25">
      <c r="A5" s="25" t="s">
        <v>0</v>
      </c>
      <c r="B5" s="10"/>
      <c r="C5" s="19"/>
      <c r="D5" s="19"/>
      <c r="E5" s="5"/>
      <c r="F5" s="5"/>
      <c r="G5" s="19"/>
      <c r="H5" s="19"/>
      <c r="I5" s="29">
        <v>1</v>
      </c>
      <c r="J5" s="13">
        <v>3</v>
      </c>
      <c r="K5" s="13">
        <v>3</v>
      </c>
      <c r="L5" s="5"/>
      <c r="M5" s="5"/>
      <c r="N5" s="29">
        <v>1</v>
      </c>
      <c r="O5" s="29">
        <v>1</v>
      </c>
      <c r="P5" s="29">
        <v>1</v>
      </c>
      <c r="Q5" s="13">
        <v>3</v>
      </c>
      <c r="R5" s="13">
        <v>3</v>
      </c>
      <c r="S5" s="5"/>
      <c r="T5" s="5"/>
      <c r="U5" s="29">
        <v>1</v>
      </c>
      <c r="V5" s="29">
        <v>1</v>
      </c>
      <c r="W5" s="29">
        <v>1</v>
      </c>
      <c r="X5" s="13">
        <v>3</v>
      </c>
      <c r="Y5" s="13">
        <v>3</v>
      </c>
      <c r="Z5" s="5"/>
      <c r="AA5" s="5"/>
      <c r="AB5" s="29">
        <v>1</v>
      </c>
      <c r="AC5" s="29">
        <v>1</v>
      </c>
      <c r="AD5" s="29">
        <v>1</v>
      </c>
      <c r="AE5" s="13">
        <v>3</v>
      </c>
      <c r="AF5" s="15">
        <v>3</v>
      </c>
      <c r="AG5" s="30" t="s">
        <v>38</v>
      </c>
      <c r="AH5" s="2"/>
      <c r="AI5" s="1" t="s">
        <v>30</v>
      </c>
    </row>
    <row r="6" spans="1:38" ht="17" thickBot="1" x14ac:dyDescent="0.25">
      <c r="A6" s="25" t="s">
        <v>1</v>
      </c>
      <c r="B6" s="5"/>
      <c r="C6" s="5"/>
      <c r="D6" s="29">
        <v>1</v>
      </c>
      <c r="E6" s="29">
        <v>1</v>
      </c>
      <c r="F6" s="29">
        <v>1</v>
      </c>
      <c r="G6" s="13">
        <v>3</v>
      </c>
      <c r="H6" s="13">
        <v>3</v>
      </c>
      <c r="I6" s="5"/>
      <c r="J6" s="5"/>
      <c r="K6" s="36"/>
      <c r="L6" s="29">
        <v>1</v>
      </c>
      <c r="M6" s="29">
        <v>1</v>
      </c>
      <c r="N6" s="13">
        <v>3</v>
      </c>
      <c r="O6" s="13">
        <v>3</v>
      </c>
      <c r="P6" s="5"/>
      <c r="Q6" s="5"/>
      <c r="R6" s="29">
        <v>1</v>
      </c>
      <c r="S6" s="29">
        <v>1</v>
      </c>
      <c r="T6" s="29">
        <v>1</v>
      </c>
      <c r="U6" s="13">
        <v>3</v>
      </c>
      <c r="V6" s="13">
        <v>3</v>
      </c>
      <c r="W6" s="5"/>
      <c r="X6" s="5"/>
      <c r="Y6" s="29">
        <v>1</v>
      </c>
      <c r="Z6" s="29">
        <v>1</v>
      </c>
      <c r="AA6" s="29">
        <v>1</v>
      </c>
      <c r="AB6" s="13">
        <v>3</v>
      </c>
      <c r="AC6" s="15">
        <v>3</v>
      </c>
      <c r="AG6" s="30" t="s">
        <v>38</v>
      </c>
      <c r="AH6" s="2"/>
      <c r="AI6" s="1" t="s">
        <v>30</v>
      </c>
    </row>
    <row r="7" spans="1:38" ht="17" thickBot="1" x14ac:dyDescent="0.25">
      <c r="A7" s="25" t="s">
        <v>2</v>
      </c>
      <c r="B7" s="5"/>
      <c r="C7" s="5"/>
      <c r="D7" s="13">
        <v>3</v>
      </c>
      <c r="E7" s="31">
        <v>4</v>
      </c>
      <c r="F7" s="31">
        <v>4</v>
      </c>
      <c r="G7" s="29">
        <v>1</v>
      </c>
      <c r="H7" s="29">
        <v>1</v>
      </c>
      <c r="I7" s="5"/>
      <c r="J7" s="5"/>
      <c r="K7" s="36"/>
      <c r="L7" s="17">
        <v>2</v>
      </c>
      <c r="M7" s="17">
        <v>2</v>
      </c>
      <c r="N7" s="29">
        <v>1</v>
      </c>
      <c r="O7" s="29">
        <v>1</v>
      </c>
      <c r="P7" s="5"/>
      <c r="Q7" s="5"/>
      <c r="R7" s="13">
        <v>3</v>
      </c>
      <c r="S7" s="29">
        <v>1</v>
      </c>
      <c r="T7" s="29">
        <v>1</v>
      </c>
      <c r="U7" s="17">
        <v>2</v>
      </c>
      <c r="V7" s="17">
        <v>2</v>
      </c>
      <c r="W7" s="5"/>
      <c r="X7" s="5"/>
      <c r="Y7" s="13">
        <v>3</v>
      </c>
      <c r="Z7" s="17">
        <v>2</v>
      </c>
      <c r="AA7" s="17">
        <v>2</v>
      </c>
      <c r="AB7" s="29">
        <v>1</v>
      </c>
      <c r="AC7" s="29">
        <v>1</v>
      </c>
      <c r="AD7" s="7"/>
      <c r="AE7" s="5"/>
      <c r="AF7" s="15">
        <v>3</v>
      </c>
      <c r="AG7" s="30"/>
      <c r="AH7" s="2" t="s">
        <v>32</v>
      </c>
      <c r="AI7" s="1"/>
      <c r="AL7" t="s">
        <v>24</v>
      </c>
    </row>
    <row r="8" spans="1:38" ht="17" thickBot="1" x14ac:dyDescent="0.25">
      <c r="A8" s="25" t="s">
        <v>3</v>
      </c>
      <c r="B8" s="13">
        <v>3</v>
      </c>
      <c r="C8" s="29">
        <v>1</v>
      </c>
      <c r="D8" s="5"/>
      <c r="E8" s="29">
        <v>1</v>
      </c>
      <c r="F8" s="5"/>
      <c r="G8" s="5"/>
      <c r="H8" s="17">
        <v>2</v>
      </c>
      <c r="I8" s="17">
        <v>2</v>
      </c>
      <c r="J8" s="17">
        <v>2</v>
      </c>
      <c r="K8" s="13">
        <v>3</v>
      </c>
      <c r="L8" s="13">
        <v>3</v>
      </c>
      <c r="M8" s="5"/>
      <c r="N8" s="5"/>
      <c r="O8" s="17">
        <v>2</v>
      </c>
      <c r="P8" s="17">
        <v>2</v>
      </c>
      <c r="Q8" s="17">
        <v>2</v>
      </c>
      <c r="R8" s="29">
        <v>1</v>
      </c>
      <c r="S8" s="5"/>
      <c r="T8" s="5"/>
      <c r="U8" s="5"/>
      <c r="V8" s="5"/>
      <c r="W8" s="29">
        <v>1</v>
      </c>
      <c r="X8" s="41"/>
      <c r="Y8" s="13"/>
      <c r="Z8" s="13"/>
      <c r="AA8" s="5"/>
      <c r="AB8" s="5"/>
      <c r="AC8" s="29">
        <v>1</v>
      </c>
      <c r="AD8" s="29">
        <v>1</v>
      </c>
      <c r="AE8" s="33">
        <v>1</v>
      </c>
      <c r="AG8" s="30" t="s">
        <v>23</v>
      </c>
      <c r="AH8" s="2" t="s">
        <v>33</v>
      </c>
      <c r="AI8" s="1" t="s">
        <v>17</v>
      </c>
    </row>
    <row r="9" spans="1:38" ht="17" thickBot="1" x14ac:dyDescent="0.25">
      <c r="A9" s="25" t="s">
        <v>4</v>
      </c>
      <c r="B9" s="17">
        <v>2</v>
      </c>
      <c r="C9" s="17">
        <v>2</v>
      </c>
      <c r="D9" s="5"/>
      <c r="E9" s="5"/>
      <c r="F9" s="5"/>
      <c r="G9" s="17">
        <v>2</v>
      </c>
      <c r="H9" s="17">
        <v>2</v>
      </c>
      <c r="I9" s="29">
        <v>1</v>
      </c>
      <c r="J9" s="29">
        <v>1</v>
      </c>
      <c r="K9" s="5"/>
      <c r="L9" s="5"/>
      <c r="M9" s="29">
        <v>1</v>
      </c>
      <c r="N9" s="29">
        <v>1</v>
      </c>
      <c r="O9" s="10"/>
      <c r="P9" s="10"/>
      <c r="Q9" s="29"/>
      <c r="R9" s="5"/>
      <c r="S9" s="5"/>
      <c r="T9" s="29">
        <v>1</v>
      </c>
      <c r="U9" s="29">
        <v>1</v>
      </c>
      <c r="V9" s="29">
        <v>1</v>
      </c>
      <c r="W9" s="41"/>
      <c r="X9" s="41"/>
      <c r="Y9" s="5"/>
      <c r="Z9" s="5"/>
      <c r="AA9" s="17">
        <v>2</v>
      </c>
      <c r="AB9" s="17">
        <v>2</v>
      </c>
      <c r="AC9" s="17">
        <v>2</v>
      </c>
      <c r="AD9" s="5"/>
      <c r="AE9" s="5"/>
      <c r="AF9" s="12"/>
      <c r="AG9" s="30" t="s">
        <v>31</v>
      </c>
      <c r="AH9" s="2"/>
      <c r="AI9" s="1"/>
    </row>
    <row r="10" spans="1:38" ht="17" thickBot="1" x14ac:dyDescent="0.25">
      <c r="A10" s="25" t="s">
        <v>5</v>
      </c>
      <c r="B10" s="38"/>
      <c r="C10" s="17">
        <v>2</v>
      </c>
      <c r="D10" s="17">
        <v>2</v>
      </c>
      <c r="E10" s="17">
        <v>2</v>
      </c>
      <c r="F10" s="17">
        <v>2</v>
      </c>
      <c r="G10" s="29">
        <v>1</v>
      </c>
      <c r="H10" s="5"/>
      <c r="I10" s="5"/>
      <c r="J10" s="5"/>
      <c r="K10" s="29">
        <v>1</v>
      </c>
      <c r="L10" s="29">
        <v>1</v>
      </c>
      <c r="M10" s="14"/>
      <c r="N10" s="14"/>
      <c r="O10" s="5"/>
      <c r="P10" s="5"/>
      <c r="Q10" s="36"/>
      <c r="R10" s="29">
        <v>1</v>
      </c>
      <c r="S10" s="29">
        <v>1</v>
      </c>
      <c r="T10" s="29">
        <v>1</v>
      </c>
      <c r="U10" s="29">
        <v>1</v>
      </c>
      <c r="V10" s="5"/>
      <c r="W10" s="5"/>
      <c r="X10" s="29">
        <v>1</v>
      </c>
      <c r="Y10" s="29">
        <v>1</v>
      </c>
      <c r="Z10" s="13">
        <v>3</v>
      </c>
      <c r="AA10" s="13">
        <v>3</v>
      </c>
      <c r="AB10" s="13">
        <v>3</v>
      </c>
      <c r="AC10" s="5"/>
      <c r="AD10" s="5"/>
      <c r="AE10" s="15">
        <v>3</v>
      </c>
      <c r="AG10" s="30"/>
      <c r="AH10" s="2" t="s">
        <v>27</v>
      </c>
      <c r="AI10" s="1"/>
    </row>
    <row r="11" spans="1:38" ht="17" thickBot="1" x14ac:dyDescent="0.25">
      <c r="A11" s="25" t="s">
        <v>6</v>
      </c>
      <c r="B11" s="13">
        <v>3</v>
      </c>
      <c r="C11" s="13">
        <v>3</v>
      </c>
      <c r="D11" s="13">
        <v>3</v>
      </c>
      <c r="E11" s="13">
        <v>3</v>
      </c>
      <c r="F11" s="5"/>
      <c r="G11" s="5"/>
      <c r="H11" s="13">
        <v>3</v>
      </c>
      <c r="I11" s="13">
        <v>3</v>
      </c>
      <c r="J11" s="13">
        <v>3</v>
      </c>
      <c r="K11" s="13">
        <v>3</v>
      </c>
      <c r="L11" s="13">
        <v>3</v>
      </c>
      <c r="M11" s="5"/>
      <c r="N11" s="5"/>
      <c r="O11" s="13">
        <v>3</v>
      </c>
      <c r="P11" s="13">
        <v>3</v>
      </c>
      <c r="Q11" s="13">
        <v>3</v>
      </c>
      <c r="R11" s="13">
        <v>3</v>
      </c>
      <c r="S11" s="13">
        <v>3</v>
      </c>
      <c r="T11" s="5"/>
      <c r="U11" s="5"/>
      <c r="V11" s="13">
        <v>3</v>
      </c>
      <c r="W11" s="13">
        <v>3</v>
      </c>
      <c r="X11" s="13">
        <v>3</v>
      </c>
      <c r="Y11" s="13">
        <v>3</v>
      </c>
      <c r="Z11" s="14"/>
      <c r="AA11" s="5"/>
      <c r="AB11" s="5"/>
      <c r="AC11" s="14"/>
      <c r="AD11" s="14"/>
      <c r="AE11" s="13">
        <v>3</v>
      </c>
      <c r="AF11" s="15">
        <v>3</v>
      </c>
      <c r="AG11" s="30"/>
      <c r="AH11" s="2"/>
      <c r="AI11" s="1" t="s">
        <v>16</v>
      </c>
    </row>
    <row r="12" spans="1:38" ht="17" thickBot="1" x14ac:dyDescent="0.25">
      <c r="A12" s="25" t="s">
        <v>7</v>
      </c>
      <c r="B12" s="13"/>
      <c r="C12" s="5"/>
      <c r="D12" s="5"/>
      <c r="E12" s="13">
        <v>3</v>
      </c>
      <c r="F12" s="13">
        <v>3</v>
      </c>
      <c r="G12" s="13">
        <v>3</v>
      </c>
      <c r="H12" s="13">
        <v>3</v>
      </c>
      <c r="I12" s="13">
        <v>3</v>
      </c>
      <c r="J12" s="5"/>
      <c r="K12" s="5"/>
      <c r="L12" s="36"/>
      <c r="M12" s="36"/>
      <c r="N12" s="36"/>
      <c r="O12" s="36"/>
      <c r="P12" s="36"/>
      <c r="Q12" s="5"/>
      <c r="R12" s="5"/>
      <c r="S12" s="13">
        <v>3</v>
      </c>
      <c r="T12" s="13">
        <v>3</v>
      </c>
      <c r="U12" s="29">
        <v>1</v>
      </c>
      <c r="V12" s="29">
        <v>1</v>
      </c>
      <c r="W12" s="29">
        <v>1</v>
      </c>
      <c r="X12" s="5"/>
      <c r="Y12" s="5"/>
      <c r="Z12" s="29">
        <v>1</v>
      </c>
      <c r="AA12" s="29">
        <v>1</v>
      </c>
      <c r="AB12" s="29">
        <v>1</v>
      </c>
      <c r="AC12" s="29">
        <v>1</v>
      </c>
      <c r="AD12" s="29">
        <v>1</v>
      </c>
      <c r="AE12" s="5"/>
      <c r="AF12" s="12"/>
      <c r="AG12" s="30" t="s">
        <v>20</v>
      </c>
      <c r="AH12" s="2"/>
      <c r="AI12" s="1" t="s">
        <v>28</v>
      </c>
      <c r="AL12" t="s">
        <v>19</v>
      </c>
    </row>
    <row r="13" spans="1:38" ht="17" thickBot="1" x14ac:dyDescent="0.25">
      <c r="A13" s="27" t="s">
        <v>8</v>
      </c>
      <c r="B13" s="29">
        <v>1</v>
      </c>
      <c r="C13" s="29">
        <v>1</v>
      </c>
      <c r="D13" s="13">
        <v>3</v>
      </c>
      <c r="E13" s="13">
        <v>3</v>
      </c>
      <c r="F13" s="13">
        <v>3</v>
      </c>
      <c r="G13" s="18"/>
      <c r="H13" s="18"/>
      <c r="I13" s="29">
        <v>1</v>
      </c>
      <c r="J13" s="29">
        <v>1</v>
      </c>
      <c r="K13" s="13">
        <v>3</v>
      </c>
      <c r="L13" s="13">
        <v>3</v>
      </c>
      <c r="M13" s="36"/>
      <c r="N13" s="18"/>
      <c r="O13" s="18"/>
      <c r="P13" s="17">
        <v>2</v>
      </c>
      <c r="Q13" s="17">
        <v>2</v>
      </c>
      <c r="R13" s="17">
        <v>2</v>
      </c>
      <c r="S13" s="13">
        <v>3</v>
      </c>
      <c r="T13" s="29">
        <v>1</v>
      </c>
      <c r="U13" s="18"/>
      <c r="V13" s="18"/>
      <c r="W13" s="13">
        <v>3</v>
      </c>
      <c r="X13" s="13">
        <v>3</v>
      </c>
      <c r="Y13" s="13">
        <v>3</v>
      </c>
      <c r="Z13" s="19"/>
      <c r="AA13" s="19"/>
      <c r="AB13" s="18"/>
      <c r="AC13" s="18"/>
      <c r="AD13" s="19"/>
      <c r="AE13" s="20"/>
      <c r="AG13" s="30"/>
      <c r="AH13" s="2" t="s">
        <v>26</v>
      </c>
      <c r="AI13" s="1" t="s">
        <v>43</v>
      </c>
      <c r="AL13" t="s">
        <v>41</v>
      </c>
    </row>
    <row r="14" spans="1:38" ht="17" thickBot="1" x14ac:dyDescent="0.25">
      <c r="A14" s="25" t="s">
        <v>9</v>
      </c>
      <c r="B14" s="13">
        <v>3</v>
      </c>
      <c r="C14" s="13">
        <v>3</v>
      </c>
      <c r="D14" s="16"/>
      <c r="E14" s="16"/>
      <c r="F14" s="16"/>
      <c r="G14" s="13">
        <v>3</v>
      </c>
      <c r="H14" s="13">
        <v>3</v>
      </c>
      <c r="I14" s="17">
        <v>2</v>
      </c>
      <c r="J14" s="17">
        <v>2</v>
      </c>
      <c r="K14" s="21"/>
      <c r="L14" s="16"/>
      <c r="M14" s="16"/>
      <c r="N14" s="17">
        <v>2</v>
      </c>
      <c r="O14" s="17">
        <v>2</v>
      </c>
      <c r="P14" s="17">
        <v>2</v>
      </c>
      <c r="Q14" s="17">
        <v>2</v>
      </c>
      <c r="R14" s="21"/>
      <c r="S14" s="16"/>
      <c r="T14" s="16"/>
      <c r="U14" s="13">
        <v>3</v>
      </c>
      <c r="V14" s="13">
        <v>3</v>
      </c>
      <c r="W14" s="13">
        <v>3</v>
      </c>
      <c r="X14" s="29"/>
      <c r="Y14" s="14"/>
      <c r="Z14" s="16"/>
      <c r="AA14" s="16"/>
      <c r="AB14" s="14"/>
      <c r="AC14" s="14"/>
      <c r="AD14" s="17">
        <v>2</v>
      </c>
      <c r="AE14" s="17">
        <v>2</v>
      </c>
      <c r="AF14" s="17">
        <v>2</v>
      </c>
      <c r="AG14" s="30"/>
      <c r="AH14" s="2" t="s">
        <v>26</v>
      </c>
      <c r="AI14" s="1" t="s">
        <v>29</v>
      </c>
    </row>
    <row r="15" spans="1:38" ht="17" thickBot="1" x14ac:dyDescent="0.25">
      <c r="A15" s="27" t="s">
        <v>10</v>
      </c>
      <c r="B15" s="18"/>
      <c r="C15" s="18"/>
      <c r="D15" s="29">
        <v>1</v>
      </c>
      <c r="E15" s="29">
        <v>1</v>
      </c>
      <c r="F15" s="13">
        <v>3</v>
      </c>
      <c r="G15" s="13">
        <v>3</v>
      </c>
      <c r="H15" s="22"/>
      <c r="I15" s="18"/>
      <c r="J15" s="18"/>
      <c r="K15" s="13">
        <v>3</v>
      </c>
      <c r="L15" s="13">
        <v>3</v>
      </c>
      <c r="M15" s="29">
        <v>1</v>
      </c>
      <c r="N15" s="29">
        <v>1</v>
      </c>
      <c r="O15" s="22"/>
      <c r="P15" s="18"/>
      <c r="Q15" s="18"/>
      <c r="R15" s="13">
        <v>3</v>
      </c>
      <c r="S15" s="13">
        <v>3</v>
      </c>
      <c r="T15" s="29">
        <v>1</v>
      </c>
      <c r="U15" s="29">
        <v>1</v>
      </c>
      <c r="V15" s="22"/>
      <c r="W15" s="18"/>
      <c r="X15" s="18"/>
      <c r="Y15" s="13">
        <v>3</v>
      </c>
      <c r="Z15" s="13">
        <v>3</v>
      </c>
      <c r="AA15" s="29">
        <v>1</v>
      </c>
      <c r="AB15" s="29">
        <v>1</v>
      </c>
      <c r="AC15" s="22"/>
      <c r="AD15" s="18"/>
      <c r="AE15" s="23"/>
      <c r="AG15" s="30" t="s">
        <v>25</v>
      </c>
      <c r="AH15" s="2"/>
      <c r="AI15" s="1" t="s">
        <v>34</v>
      </c>
    </row>
    <row r="16" spans="1:38" ht="17" thickBot="1" x14ac:dyDescent="0.25">
      <c r="A16" s="25" t="s">
        <v>11</v>
      </c>
      <c r="B16" s="29">
        <v>1</v>
      </c>
      <c r="C16" s="29">
        <v>1</v>
      </c>
      <c r="D16" s="29">
        <v>1</v>
      </c>
      <c r="E16" s="29">
        <v>1</v>
      </c>
      <c r="F16" s="21"/>
      <c r="G16" s="16"/>
      <c r="H16" s="16"/>
      <c r="I16" s="29">
        <v>1</v>
      </c>
      <c r="J16" s="29">
        <v>1</v>
      </c>
      <c r="K16" s="13">
        <v>3</v>
      </c>
      <c r="L16" s="13">
        <v>3</v>
      </c>
      <c r="M16" s="21"/>
      <c r="N16" s="16"/>
      <c r="O16" s="16"/>
      <c r="P16" s="29">
        <v>1</v>
      </c>
      <c r="Q16" s="29">
        <v>1</v>
      </c>
      <c r="R16" s="13">
        <v>3</v>
      </c>
      <c r="S16" s="13">
        <v>3</v>
      </c>
      <c r="T16" s="21"/>
      <c r="U16" s="16"/>
      <c r="V16" s="16"/>
      <c r="W16" s="32">
        <v>4</v>
      </c>
      <c r="X16" s="32">
        <v>4</v>
      </c>
      <c r="Y16" s="29">
        <v>1</v>
      </c>
      <c r="Z16" s="4"/>
      <c r="AA16" s="4"/>
      <c r="AB16" s="16"/>
      <c r="AC16" s="16"/>
      <c r="AD16" s="32">
        <v>4</v>
      </c>
      <c r="AE16" s="32">
        <v>4</v>
      </c>
      <c r="AF16" s="29">
        <v>1</v>
      </c>
      <c r="AG16" s="30" t="s">
        <v>18</v>
      </c>
      <c r="AH16" s="2"/>
      <c r="AI16" s="1" t="s">
        <v>30</v>
      </c>
    </row>
    <row r="17" spans="1:35" ht="17" thickBot="1" x14ac:dyDescent="0.25">
      <c r="A17" s="24">
        <v>2026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30"/>
      <c r="AH17" s="2"/>
      <c r="AI17" s="1"/>
    </row>
    <row r="18" spans="1:35" ht="17" thickBot="1" x14ac:dyDescent="0.25">
      <c r="A18" s="25" t="s">
        <v>0</v>
      </c>
      <c r="B18" s="12"/>
      <c r="C18" s="5"/>
      <c r="D18" s="5"/>
      <c r="E18" s="5"/>
      <c r="F18" s="14"/>
      <c r="G18" s="14"/>
      <c r="H18" s="13">
        <v>3</v>
      </c>
      <c r="I18" s="13">
        <v>3</v>
      </c>
      <c r="J18" s="32">
        <v>4</v>
      </c>
      <c r="K18" s="5"/>
      <c r="L18" s="5"/>
      <c r="M18" s="13">
        <v>3</v>
      </c>
      <c r="N18" s="13">
        <v>3</v>
      </c>
      <c r="O18" s="32">
        <v>4</v>
      </c>
      <c r="P18" s="29">
        <v>1</v>
      </c>
      <c r="Q18" s="29">
        <v>1</v>
      </c>
      <c r="R18" s="5"/>
      <c r="S18" s="5"/>
      <c r="T18" s="32">
        <v>4</v>
      </c>
      <c r="U18" s="32">
        <v>4</v>
      </c>
      <c r="V18" s="29">
        <v>1</v>
      </c>
      <c r="W18" s="29">
        <v>1</v>
      </c>
      <c r="X18" s="29">
        <v>1</v>
      </c>
      <c r="Y18" s="5"/>
      <c r="Z18" s="5"/>
      <c r="AA18" s="32">
        <v>4</v>
      </c>
      <c r="AB18" s="32">
        <v>4</v>
      </c>
      <c r="AC18" s="29">
        <v>1</v>
      </c>
      <c r="AD18" s="29">
        <v>1</v>
      </c>
      <c r="AE18" s="29">
        <v>1</v>
      </c>
      <c r="AF18" s="12"/>
      <c r="AG18" s="30" t="s">
        <v>42</v>
      </c>
      <c r="AH18" s="2"/>
      <c r="AI18" s="1" t="s">
        <v>30</v>
      </c>
    </row>
    <row r="19" spans="1:35" ht="17" thickBot="1" x14ac:dyDescent="0.25">
      <c r="A19" s="28" t="s">
        <v>1</v>
      </c>
      <c r="B19" s="7"/>
      <c r="C19" s="32">
        <v>4</v>
      </c>
      <c r="D19" s="13">
        <v>3</v>
      </c>
      <c r="E19" s="29">
        <v>1</v>
      </c>
      <c r="F19" s="29">
        <v>1</v>
      </c>
      <c r="G19" s="7"/>
      <c r="H19" s="7"/>
      <c r="I19" s="7"/>
      <c r="J19" s="34"/>
      <c r="K19" s="34"/>
      <c r="L19" s="34"/>
      <c r="M19" s="34"/>
      <c r="N19" s="7"/>
      <c r="O19" s="7"/>
      <c r="P19" s="7"/>
      <c r="Q19" s="34"/>
      <c r="R19" s="34"/>
      <c r="S19" s="34"/>
      <c r="T19" s="34"/>
      <c r="U19" s="7"/>
      <c r="V19" s="7"/>
      <c r="W19" s="7"/>
      <c r="X19" s="34"/>
      <c r="Y19" s="13">
        <v>3</v>
      </c>
      <c r="Z19" s="13">
        <v>3</v>
      </c>
      <c r="AA19" s="29">
        <v>1</v>
      </c>
      <c r="AB19" s="32">
        <v>1</v>
      </c>
      <c r="AC19" s="7"/>
      <c r="AG19" s="30"/>
      <c r="AH19" s="2"/>
      <c r="AI19" s="1" t="s">
        <v>12</v>
      </c>
    </row>
    <row r="20" spans="1:35" ht="17" thickBot="1" x14ac:dyDescent="0.25">
      <c r="A20" s="24" t="s">
        <v>2</v>
      </c>
      <c r="B20" s="4"/>
      <c r="C20" s="32">
        <v>4</v>
      </c>
      <c r="D20" s="13">
        <v>3</v>
      </c>
      <c r="E20" s="13">
        <v>3</v>
      </c>
      <c r="H20" s="4"/>
      <c r="I20" s="4"/>
      <c r="J20" s="13">
        <v>3</v>
      </c>
      <c r="K20" s="13">
        <v>3</v>
      </c>
      <c r="L20" s="13">
        <v>3</v>
      </c>
      <c r="O20" s="4"/>
      <c r="P20" s="4"/>
      <c r="Q20" s="13">
        <v>3</v>
      </c>
      <c r="R20" s="13">
        <v>3</v>
      </c>
      <c r="S20" s="13">
        <v>3</v>
      </c>
      <c r="V20" s="4"/>
      <c r="W20" s="4"/>
      <c r="X20" s="13">
        <v>3</v>
      </c>
      <c r="Y20" s="13">
        <v>3</v>
      </c>
      <c r="Z20" s="13">
        <v>3</v>
      </c>
      <c r="AC20" s="4"/>
      <c r="AD20" s="4"/>
      <c r="AG20" s="30"/>
      <c r="AH20" s="2"/>
      <c r="AI20" s="1" t="s">
        <v>13</v>
      </c>
    </row>
    <row r="21" spans="1:35" ht="17" thickBot="1" x14ac:dyDescent="0.25">
      <c r="A21" s="27" t="s">
        <v>3</v>
      </c>
      <c r="B21" s="9"/>
      <c r="C21" s="9"/>
      <c r="D21" s="10"/>
      <c r="E21" s="10"/>
      <c r="F21" s="5"/>
      <c r="G21" s="10"/>
      <c r="H21" s="9"/>
      <c r="I21" s="9"/>
      <c r="J21" s="9"/>
      <c r="K21" s="10"/>
      <c r="L21" s="10"/>
      <c r="M21" s="9"/>
      <c r="N21" s="9"/>
      <c r="O21" s="9"/>
      <c r="P21" s="9"/>
      <c r="Q21" s="9"/>
      <c r="R21" s="10"/>
      <c r="S21" s="10"/>
      <c r="T21" s="9"/>
      <c r="U21" s="9"/>
      <c r="V21" s="9"/>
      <c r="W21" s="9"/>
      <c r="X21" s="9"/>
      <c r="Y21" s="10"/>
      <c r="Z21" s="10"/>
      <c r="AA21" s="9"/>
      <c r="AB21" s="5"/>
      <c r="AC21" s="9"/>
      <c r="AD21" s="9"/>
      <c r="AE21" s="11"/>
      <c r="AG21" s="30"/>
      <c r="AH21" s="2"/>
      <c r="AI21" s="1" t="s">
        <v>14</v>
      </c>
    </row>
    <row r="22" spans="1:35" ht="17" thickBot="1" x14ac:dyDescent="0.25">
      <c r="A22" s="25" t="s">
        <v>4</v>
      </c>
      <c r="B22" s="6"/>
      <c r="C22" s="5"/>
      <c r="D22" s="5"/>
      <c r="E22" s="6"/>
      <c r="F22" s="5"/>
      <c r="G22" s="6"/>
      <c r="H22" s="6"/>
      <c r="I22" s="6"/>
      <c r="J22" s="5"/>
      <c r="K22" s="5"/>
      <c r="L22" s="6"/>
      <c r="M22" s="6"/>
      <c r="N22" s="6"/>
      <c r="O22" s="10"/>
      <c r="P22" s="10"/>
      <c r="Q22" s="5"/>
      <c r="R22" s="5"/>
      <c r="S22" s="6"/>
      <c r="T22" s="6"/>
      <c r="U22" s="6"/>
      <c r="V22" s="6"/>
      <c r="W22" s="6"/>
      <c r="X22" s="5"/>
      <c r="Y22" s="5"/>
      <c r="Z22" s="10"/>
      <c r="AA22" s="6"/>
      <c r="AB22" s="6"/>
      <c r="AC22" s="6"/>
      <c r="AD22" s="6"/>
      <c r="AE22" s="5"/>
      <c r="AF22" s="12"/>
      <c r="AG22" s="30"/>
      <c r="AH22" s="2"/>
      <c r="AI22" s="1"/>
    </row>
    <row r="23" spans="1:35" ht="17" thickBot="1" x14ac:dyDescent="0.25">
      <c r="A23" s="27" t="s">
        <v>5</v>
      </c>
      <c r="B23" s="9"/>
      <c r="C23" s="9"/>
      <c r="D23" s="9"/>
      <c r="E23" s="9"/>
      <c r="F23" s="9"/>
      <c r="G23" s="10"/>
      <c r="H23" s="10"/>
      <c r="I23" s="9"/>
      <c r="J23" s="9"/>
      <c r="K23" s="9"/>
      <c r="L23" s="9"/>
      <c r="M23" s="9"/>
      <c r="N23" s="10"/>
      <c r="O23" s="10"/>
      <c r="P23" s="9"/>
      <c r="Q23" s="9"/>
      <c r="R23" s="9"/>
      <c r="S23" s="9"/>
      <c r="T23" s="9"/>
      <c r="U23" s="10"/>
      <c r="V23" s="10"/>
      <c r="W23" s="9"/>
      <c r="X23" s="9"/>
      <c r="Y23" s="9"/>
      <c r="Z23" s="9"/>
      <c r="AA23" s="9"/>
      <c r="AB23" s="10"/>
      <c r="AC23" s="10"/>
      <c r="AD23" s="9"/>
      <c r="AE23" s="11"/>
      <c r="AG23" s="30"/>
      <c r="AH23" s="2"/>
      <c r="AI23" s="1"/>
    </row>
    <row r="24" spans="1:35" ht="17" thickBot="1" x14ac:dyDescent="0.25">
      <c r="A24" s="25" t="s">
        <v>6</v>
      </c>
      <c r="B24" s="6"/>
      <c r="C24" s="6"/>
      <c r="D24" s="6"/>
      <c r="E24" s="5"/>
      <c r="F24" s="5"/>
      <c r="G24" s="6"/>
      <c r="H24" s="6"/>
      <c r="I24" s="6"/>
      <c r="J24" s="6"/>
      <c r="K24" s="6"/>
      <c r="L24" s="5"/>
      <c r="M24" s="5"/>
      <c r="N24" s="6"/>
      <c r="O24" s="6"/>
      <c r="P24" s="6"/>
      <c r="Q24" s="6"/>
      <c r="R24" s="6"/>
      <c r="S24" s="5"/>
      <c r="T24" s="5"/>
      <c r="U24" s="6"/>
      <c r="V24" s="6"/>
      <c r="W24" s="6"/>
      <c r="X24" s="6"/>
      <c r="Y24" s="6"/>
      <c r="Z24" s="5"/>
      <c r="AA24" s="5"/>
      <c r="AB24" s="6"/>
      <c r="AC24" s="6"/>
      <c r="AD24" s="6"/>
      <c r="AE24" s="6"/>
      <c r="AF24" s="8"/>
      <c r="AG24" s="30"/>
      <c r="AH24" s="2"/>
      <c r="AI24" s="1"/>
    </row>
    <row r="25" spans="1:35" ht="17" thickBot="1" x14ac:dyDescent="0.25">
      <c r="A25" s="25" t="s">
        <v>7</v>
      </c>
      <c r="B25" s="5"/>
      <c r="C25" s="5"/>
      <c r="D25" s="6"/>
      <c r="E25" s="6"/>
      <c r="F25" s="6"/>
      <c r="G25" s="6"/>
      <c r="H25" s="6"/>
      <c r="I25" s="5"/>
      <c r="J25" s="5"/>
      <c r="K25" s="6"/>
      <c r="L25" s="6"/>
      <c r="M25" s="6"/>
      <c r="N25" s="6"/>
      <c r="O25" s="6"/>
      <c r="P25" s="5"/>
      <c r="Q25" s="5"/>
      <c r="R25" s="6"/>
      <c r="S25" s="6"/>
      <c r="T25" s="6"/>
      <c r="U25" s="6"/>
      <c r="V25" s="6"/>
      <c r="W25" s="5"/>
      <c r="X25" s="5"/>
      <c r="Y25" s="6"/>
      <c r="Z25" s="6"/>
      <c r="AA25" s="6"/>
      <c r="AB25" s="6"/>
      <c r="AC25" s="6"/>
      <c r="AD25" s="5"/>
      <c r="AE25" s="5"/>
      <c r="AF25" s="8"/>
      <c r="AG25" s="30"/>
      <c r="AH25" s="2"/>
      <c r="AI25" s="1"/>
    </row>
    <row r="26" spans="1:35" ht="17" thickBot="1" x14ac:dyDescent="0.25">
      <c r="A26" s="27" t="s">
        <v>8</v>
      </c>
      <c r="B26" s="9"/>
      <c r="C26" s="9"/>
      <c r="D26" s="9"/>
      <c r="E26" s="9"/>
      <c r="F26" s="10"/>
      <c r="G26" s="10"/>
      <c r="H26" s="9"/>
      <c r="I26" s="9"/>
      <c r="J26" s="9"/>
      <c r="K26" s="9"/>
      <c r="L26" s="9"/>
      <c r="M26" s="10"/>
      <c r="N26" s="10"/>
      <c r="O26" s="9"/>
      <c r="P26" s="9"/>
      <c r="Q26" s="9"/>
      <c r="R26" s="9"/>
      <c r="S26" s="9"/>
      <c r="T26" s="10"/>
      <c r="U26" s="10"/>
      <c r="V26" s="9"/>
      <c r="W26" s="9"/>
      <c r="X26" s="9"/>
      <c r="Y26" s="9"/>
      <c r="Z26" s="9"/>
      <c r="AA26" s="10"/>
      <c r="AB26" s="10"/>
      <c r="AC26" s="9"/>
      <c r="AD26" s="9"/>
      <c r="AE26" s="11"/>
      <c r="AG26" s="30"/>
      <c r="AH26" s="2"/>
      <c r="AI26" s="1"/>
    </row>
    <row r="27" spans="1:35" ht="17" thickBot="1" x14ac:dyDescent="0.25">
      <c r="A27" s="25" t="s">
        <v>9</v>
      </c>
      <c r="B27" s="6"/>
      <c r="C27" s="6"/>
      <c r="D27" s="6"/>
      <c r="E27" s="5"/>
      <c r="F27" s="5"/>
      <c r="G27" s="6"/>
      <c r="H27" s="6"/>
      <c r="I27" s="6"/>
      <c r="J27" s="6"/>
      <c r="K27" s="6"/>
      <c r="L27" s="5"/>
      <c r="M27" s="5"/>
      <c r="N27" s="6"/>
      <c r="O27" s="6"/>
      <c r="P27" s="6"/>
      <c r="Q27" s="6"/>
      <c r="R27" s="6"/>
      <c r="S27" s="5"/>
      <c r="T27" s="5"/>
      <c r="U27" s="6"/>
      <c r="V27" s="6"/>
      <c r="W27" s="6"/>
      <c r="X27" s="6"/>
      <c r="Y27" s="6"/>
      <c r="Z27" s="5"/>
      <c r="AA27" s="5"/>
      <c r="AB27" s="6"/>
      <c r="AC27" s="6"/>
      <c r="AD27" s="6"/>
      <c r="AE27" s="6"/>
      <c r="AF27" s="8"/>
      <c r="AG27" s="30"/>
      <c r="AH27" s="2"/>
      <c r="AI27" s="1"/>
    </row>
    <row r="28" spans="1:35" x14ac:dyDescent="0.2">
      <c r="A28" s="26" t="s">
        <v>44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>
        <f>COUNTIF($B$2:$AF$18, 1)</f>
        <v>110</v>
      </c>
      <c r="AH28" s="24">
        <f>COUNTIF($B$2:$AF$18, 2)</f>
        <v>47</v>
      </c>
      <c r="AI28" s="24">
        <f>COUNTIF($B$2:$AF$18, 3)</f>
        <v>86</v>
      </c>
    </row>
    <row r="29" spans="1:35" x14ac:dyDescent="0.2">
      <c r="A29" s="26" t="s">
        <v>45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>
        <f>AG28*7.6</f>
        <v>836</v>
      </c>
      <c r="AH29" s="24">
        <f>AH28*7.6</f>
        <v>357.2</v>
      </c>
      <c r="AI29" s="24">
        <f>AI28*7.6</f>
        <v>653.6</v>
      </c>
    </row>
  </sheetData>
  <conditionalFormatting sqref="B2:AF26">
    <cfRule type="cellIs" dxfId="11" priority="9" operator="equal">
      <formula>4</formula>
    </cfRule>
    <cfRule type="cellIs" dxfId="10" priority="11" operator="equal">
      <formula>3</formula>
    </cfRule>
    <cfRule type="cellIs" dxfId="9" priority="12" operator="equal">
      <formula>2</formula>
    </cfRule>
    <cfRule type="cellIs" dxfId="8" priority="13" operator="equal">
      <formula>1</formula>
    </cfRule>
  </conditionalFormatting>
  <conditionalFormatting sqref="E27:AA27">
    <cfRule type="cellIs" dxfId="7" priority="1" operator="equal">
      <formula>4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K1">
    <cfRule type="cellIs" dxfId="3" priority="5" operator="equal">
      <formula>4</formula>
    </cfRule>
    <cfRule type="cellIs" dxfId="2" priority="6" operator="equal">
      <formula>3</formula>
    </cfRule>
    <cfRule type="cellIs" dxfId="1" priority="7" operator="equal">
      <formula>2</formula>
    </cfRule>
    <cfRule type="cellIs" dxfId="0" priority="8" operator="equal">
      <formula>1</formula>
    </cfRule>
  </conditionalFormatting>
  <pageMargins left="0.7" right="0.7" top="0.75" bottom="0.75" header="0.3" footer="0.3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K. (Katrina)</dc:creator>
  <cp:lastModifiedBy>Li, K. (Katrina)</cp:lastModifiedBy>
  <dcterms:created xsi:type="dcterms:W3CDTF">2026-02-03T23:20:42Z</dcterms:created>
  <dcterms:modified xsi:type="dcterms:W3CDTF">2026-02-04T14:58:25Z</dcterms:modified>
</cp:coreProperties>
</file>